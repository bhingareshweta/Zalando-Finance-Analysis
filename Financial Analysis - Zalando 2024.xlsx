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weta Bhingare\Desktop\Project\"/>
    </mc:Choice>
  </mc:AlternateContent>
  <xr:revisionPtr revIDLastSave="0" documentId="8_{B5523513-B5BB-4E48-8688-F2BA961A49A6}" xr6:coauthVersionLast="47" xr6:coauthVersionMax="47" xr10:uidLastSave="{00000000-0000-0000-0000-000000000000}"/>
  <bookViews>
    <workbookView xWindow="0" yWindow="0" windowWidth="23040" windowHeight="12240" activeTab="1" xr2:uid="{1C4D4D7C-321B-4468-AC87-4DE1D771E137}"/>
  </bookViews>
  <sheets>
    <sheet name="Zalando Profile" sheetId="1" r:id="rId1"/>
    <sheet name="Data Sheet" sheetId="2" r:id="rId2"/>
    <sheet name="Scenario 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N10" i="2"/>
  <c r="J11" i="2"/>
  <c r="K11" i="2"/>
  <c r="L11" i="2"/>
  <c r="M11" i="2"/>
  <c r="M10" i="2"/>
  <c r="L10" i="2"/>
  <c r="K10" i="2"/>
  <c r="J10" i="2"/>
  <c r="M9" i="2"/>
  <c r="L9" i="2"/>
  <c r="K9" i="2"/>
  <c r="J9" i="2"/>
  <c r="I11" i="2"/>
  <c r="I10" i="2"/>
  <c r="I9" i="2"/>
  <c r="C13" i="2"/>
  <c r="C12" i="2"/>
  <c r="C11" i="2"/>
  <c r="C10" i="2"/>
</calcChain>
</file>

<file path=xl/sharedStrings.xml><?xml version="1.0" encoding="utf-8"?>
<sst xmlns="http://schemas.openxmlformats.org/spreadsheetml/2006/main" count="43" uniqueCount="36">
  <si>
    <t>Month</t>
  </si>
  <si>
    <t>Revenue</t>
  </si>
  <si>
    <t>COGS</t>
  </si>
  <si>
    <t>Rent</t>
  </si>
  <si>
    <t>Salaries</t>
  </si>
  <si>
    <t>Marketing</t>
  </si>
  <si>
    <t>Logistics</t>
  </si>
  <si>
    <t>Other Costs</t>
  </si>
  <si>
    <t>Item</t>
  </si>
  <si>
    <t>Value (€)</t>
  </si>
  <si>
    <t>Cost of Sales</t>
  </si>
  <si>
    <t>Fulfillment / Logistics</t>
  </si>
  <si>
    <t>Admin / Other</t>
  </si>
  <si>
    <t>Other operating Income</t>
  </si>
  <si>
    <t>Other operating Expenses</t>
  </si>
  <si>
    <t>EBIT</t>
  </si>
  <si>
    <t>% of Revenue</t>
  </si>
  <si>
    <t>Cost structure derived from Zalando 2024 annual report</t>
  </si>
  <si>
    <t>Costs modeled as percentage of revenue</t>
  </si>
  <si>
    <t>Logistics identified as key operational driver</t>
  </si>
  <si>
    <t>Model designed to simulate monthly controlling environment</t>
  </si>
  <si>
    <t xml:space="preserve"> Assumptions</t>
  </si>
  <si>
    <t>Financial Insights</t>
  </si>
  <si>
    <t>1. Cost Structure Insight</t>
  </si>
  <si>
    <t>Cost of Sales represents the largest portion (~59%), indicating strong dependency on supplier and product costs</t>
  </si>
  <si>
    <t>2. Key Cost Driver</t>
  </si>
  <si>
    <t>Logistics costs are significantly high (~23%), highlighting the operational intensity of e-commerce (delivery, returns, warehousing)</t>
  </si>
  <si>
    <t>3. Marketing Efficiency</t>
  </si>
  <si>
    <t>Marketing spend (~9%) suggests moderate investment in customer acquisition and growth</t>
  </si>
  <si>
    <t>4. Profitability Insight</t>
  </si>
  <si>
    <t>EBIT margin is relatively low (~3–4%), indicating tight margins and high cost pressure</t>
  </si>
  <si>
    <t>Admin</t>
  </si>
  <si>
    <t>Base Case</t>
  </si>
  <si>
    <t>Worst Case (-10%)</t>
  </si>
  <si>
    <t>Best Case (+10%)</t>
  </si>
  <si>
    <t>Scenario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</si>
</sst>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3" fillId="0" borderId="0" xfId="1" applyFont="1" applyAlignment="1">
      <alignment horizontal="center" vertical="center" wrapText="1"/>
    </xf>
    <xf numFmtId="9" fontId="0" fillId="0" borderId="0" xfId="1" applyFont="1" applyAlignment="1">
      <alignment vertical="center" wrapText="1"/>
    </xf>
    <xf numFmtId="9" fontId="0" fillId="0" borderId="0" xfId="1" applyFont="1"/>
    <xf numFmtId="0" fontId="0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9" fontId="3" fillId="0" borderId="1" xfId="1" applyFont="1" applyBorder="1"/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9" fontId="0" fillId="0" borderId="1" xfId="1" applyFont="1" applyBorder="1"/>
    <xf numFmtId="9" fontId="2" fillId="0" borderId="1" xfId="1" applyFont="1" applyBorder="1"/>
    <xf numFmtId="0" fontId="0" fillId="0" borderId="1" xfId="0" applyBorder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vertical="center"/>
    </xf>
    <xf numFmtId="9" fontId="0" fillId="0" borderId="1" xfId="0" applyNumberForma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270248</xdr:colOff>
      <xdr:row>0</xdr:row>
      <xdr:rowOff>83821</xdr:rowOff>
    </xdr:from>
    <xdr:to>
      <xdr:col>15</xdr:col>
      <xdr:colOff>190499</xdr:colOff>
      <xdr:row>26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704D76-8699-7C0D-C721-996F51BD5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7848" y="83821"/>
          <a:ext cx="5406651" cy="48844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2925-39DB-4609-AA5E-6D8BDC5E1F2D}">
  <dimension ref="A2:A6"/>
  <sheetViews>
    <sheetView workbookViewId="0">
      <selection activeCell="C16" sqref="C16"/>
    </sheetView>
  </sheetViews>
  <sheetFormatPr defaultRowHeight="14.4" x14ac:dyDescent="0.3"/>
  <sheetData>
    <row r="2" spans="1:1" ht="18" x14ac:dyDescent="0.3">
      <c r="A2" s="15" t="s">
        <v>21</v>
      </c>
    </row>
    <row r="3" spans="1:1" x14ac:dyDescent="0.3">
      <c r="A3" s="16" t="s">
        <v>17</v>
      </c>
    </row>
    <row r="4" spans="1:1" x14ac:dyDescent="0.3">
      <c r="A4" s="16" t="s">
        <v>18</v>
      </c>
    </row>
    <row r="5" spans="1:1" x14ac:dyDescent="0.3">
      <c r="A5" s="16" t="s">
        <v>19</v>
      </c>
    </row>
    <row r="6" spans="1:1" x14ac:dyDescent="0.3">
      <c r="A6" s="16" t="s">
        <v>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C665-0467-400B-A525-9351677272CE}">
  <dimension ref="A2:N31"/>
  <sheetViews>
    <sheetView tabSelected="1" topLeftCell="A8" workbookViewId="0">
      <selection activeCell="H15" sqref="H15"/>
    </sheetView>
  </sheetViews>
  <sheetFormatPr defaultRowHeight="14.4" x14ac:dyDescent="0.3"/>
  <cols>
    <col min="1" max="1" width="21" customWidth="1"/>
    <col min="2" max="2" width="13.21875" customWidth="1"/>
    <col min="3" max="3" width="12.109375" style="5" customWidth="1"/>
    <col min="4" max="4" width="6" bestFit="1" customWidth="1"/>
    <col min="5" max="5" width="7.77734375" bestFit="1" customWidth="1"/>
    <col min="6" max="6" width="9.5546875" customWidth="1"/>
    <col min="7" max="7" width="8.33203125" bestFit="1" customWidth="1"/>
    <col min="8" max="8" width="11.44140625" customWidth="1"/>
    <col min="9" max="9" width="9.109375" bestFit="1" customWidth="1"/>
  </cols>
  <sheetData>
    <row r="2" spans="1:14" x14ac:dyDescent="0.3">
      <c r="A2" s="1" t="s">
        <v>0</v>
      </c>
      <c r="B2" s="1" t="s">
        <v>1</v>
      </c>
      <c r="C2" s="3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4" x14ac:dyDescent="0.3">
      <c r="A3" s="2">
        <v>2024</v>
      </c>
      <c r="B3" s="2"/>
      <c r="C3" s="4"/>
      <c r="D3" s="2"/>
      <c r="E3" s="2"/>
      <c r="F3" s="2"/>
      <c r="G3" s="2"/>
      <c r="H3" s="2"/>
    </row>
    <row r="4" spans="1:14" x14ac:dyDescent="0.3">
      <c r="A4" s="2">
        <v>2023</v>
      </c>
      <c r="B4" s="2"/>
      <c r="C4" s="4"/>
      <c r="D4" s="2"/>
      <c r="E4" s="2"/>
      <c r="F4" s="2"/>
      <c r="G4" s="2"/>
      <c r="H4" s="2"/>
    </row>
    <row r="5" spans="1:14" x14ac:dyDescent="0.3">
      <c r="A5" s="2">
        <v>2022</v>
      </c>
      <c r="B5" s="2"/>
      <c r="C5" s="4"/>
      <c r="D5" s="2"/>
      <c r="E5" s="2"/>
      <c r="F5" s="2"/>
      <c r="G5" s="2"/>
      <c r="H5" s="2"/>
    </row>
    <row r="8" spans="1:14" s="7" customFormat="1" ht="28.8" x14ac:dyDescent="0.3">
      <c r="A8" s="8" t="s">
        <v>8</v>
      </c>
      <c r="B8" s="8" t="s">
        <v>9</v>
      </c>
      <c r="C8" s="9" t="s">
        <v>16</v>
      </c>
      <c r="H8" s="8" t="s">
        <v>35</v>
      </c>
      <c r="I8" s="8" t="s">
        <v>1</v>
      </c>
      <c r="J8" s="8" t="s">
        <v>2</v>
      </c>
      <c r="K8" s="8" t="s">
        <v>5</v>
      </c>
      <c r="L8" s="8" t="s">
        <v>6</v>
      </c>
      <c r="M8" s="8" t="s">
        <v>31</v>
      </c>
      <c r="N8" s="8" t="s">
        <v>15</v>
      </c>
    </row>
    <row r="9" spans="1:14" x14ac:dyDescent="0.3">
      <c r="A9" s="10" t="s">
        <v>1</v>
      </c>
      <c r="B9" s="11">
        <v>10572.5</v>
      </c>
      <c r="C9" s="12"/>
      <c r="H9" s="10" t="s">
        <v>32</v>
      </c>
      <c r="I9" s="11">
        <f>B9</f>
        <v>10572.5</v>
      </c>
      <c r="J9" s="19">
        <f>C10</f>
        <v>0.5930952943958383</v>
      </c>
      <c r="K9" s="19">
        <f>C11</f>
        <v>9.2617640104043511E-2</v>
      </c>
      <c r="L9" s="19">
        <f>C12</f>
        <v>0.22874438401513361</v>
      </c>
      <c r="M9" s="19">
        <f>C13</f>
        <v>4.8550484748167408E-2</v>
      </c>
      <c r="N9" s="10"/>
    </row>
    <row r="10" spans="1:14" ht="28.8" x14ac:dyDescent="0.3">
      <c r="A10" s="10" t="s">
        <v>10</v>
      </c>
      <c r="B10" s="11">
        <v>-6270.5</v>
      </c>
      <c r="C10" s="12">
        <f>-B10/B9</f>
        <v>0.5930952943958383</v>
      </c>
      <c r="H10" s="10" t="s">
        <v>33</v>
      </c>
      <c r="I10" s="10">
        <f>I9*0.9</f>
        <v>9515.25</v>
      </c>
      <c r="J10" s="10">
        <f>I10*J9</f>
        <v>5643.4500000000007</v>
      </c>
      <c r="K10" s="10">
        <f>I10*K9</f>
        <v>881.28</v>
      </c>
      <c r="L10" s="10">
        <f>I10*L9</f>
        <v>2176.56</v>
      </c>
      <c r="M10" s="10">
        <f>I10*M9</f>
        <v>461.96999999999991</v>
      </c>
      <c r="N10" s="10">
        <f>+I10-SUM(J10:M10)</f>
        <v>351.98999999999978</v>
      </c>
    </row>
    <row r="11" spans="1:14" ht="28.8" x14ac:dyDescent="0.3">
      <c r="A11" s="10" t="s">
        <v>5</v>
      </c>
      <c r="B11" s="10">
        <v>-979.2</v>
      </c>
      <c r="C11" s="12">
        <f>-B11/B9</f>
        <v>9.2617640104043511E-2</v>
      </c>
      <c r="H11" s="10" t="s">
        <v>34</v>
      </c>
      <c r="I11" s="10">
        <f>I9*1.1</f>
        <v>11629.750000000002</v>
      </c>
      <c r="J11" s="10">
        <f>I11*J9</f>
        <v>6897.550000000002</v>
      </c>
      <c r="K11" s="10">
        <f>I11*K9</f>
        <v>1077.1200000000001</v>
      </c>
      <c r="L11" s="10">
        <f>I11*L9</f>
        <v>2660.2400000000007</v>
      </c>
      <c r="M11" s="10">
        <f>I11*M9</f>
        <v>564.63</v>
      </c>
      <c r="N11" s="10">
        <f>+I11-SUM(J11:M11)</f>
        <v>430.20999999999913</v>
      </c>
    </row>
    <row r="12" spans="1:14" x14ac:dyDescent="0.3">
      <c r="A12" s="10" t="s">
        <v>11</v>
      </c>
      <c r="B12" s="11">
        <v>-2418.4</v>
      </c>
      <c r="C12" s="13">
        <f>-B12/B9</f>
        <v>0.22874438401513361</v>
      </c>
    </row>
    <row r="13" spans="1:14" x14ac:dyDescent="0.3">
      <c r="A13" s="10" t="s">
        <v>12</v>
      </c>
      <c r="B13" s="10">
        <v>-513.29999999999995</v>
      </c>
      <c r="C13" s="12">
        <f>-B13/B9</f>
        <v>4.8550484748167408E-2</v>
      </c>
    </row>
    <row r="14" spans="1:14" ht="28.8" x14ac:dyDescent="0.3">
      <c r="A14" s="10" t="s">
        <v>13</v>
      </c>
      <c r="B14" s="14">
        <v>20.9</v>
      </c>
      <c r="C14" s="12"/>
    </row>
    <row r="15" spans="1:14" ht="28.8" x14ac:dyDescent="0.3">
      <c r="A15" s="10" t="s">
        <v>14</v>
      </c>
      <c r="B15" s="14">
        <v>-20.100000000000001</v>
      </c>
      <c r="C15" s="12"/>
    </row>
    <row r="16" spans="1:14" x14ac:dyDescent="0.3">
      <c r="A16" s="10" t="s">
        <v>15</v>
      </c>
      <c r="B16" s="14">
        <v>391.9</v>
      </c>
      <c r="C16" s="12"/>
    </row>
    <row r="18" spans="1:3" s="6" customFormat="1" x14ac:dyDescent="0.3">
      <c r="A18" s="6" t="s">
        <v>22</v>
      </c>
      <c r="C18" s="5"/>
    </row>
    <row r="19" spans="1:3" s="6" customFormat="1" x14ac:dyDescent="0.3">
      <c r="A19" s="18" t="s">
        <v>23</v>
      </c>
      <c r="B19" s="17" t="s">
        <v>24</v>
      </c>
      <c r="C19" s="5"/>
    </row>
    <row r="20" spans="1:3" s="6" customFormat="1" x14ac:dyDescent="0.3">
      <c r="A20" s="18" t="s">
        <v>25</v>
      </c>
      <c r="B20" s="17" t="s">
        <v>26</v>
      </c>
      <c r="C20" s="5"/>
    </row>
    <row r="21" spans="1:3" s="6" customFormat="1" x14ac:dyDescent="0.3">
      <c r="A21" s="18" t="s">
        <v>27</v>
      </c>
      <c r="B21" s="17" t="s">
        <v>28</v>
      </c>
      <c r="C21" s="5"/>
    </row>
    <row r="22" spans="1:3" s="6" customFormat="1" x14ac:dyDescent="0.3">
      <c r="A22" s="18" t="s">
        <v>29</v>
      </c>
      <c r="B22" s="17" t="s">
        <v>30</v>
      </c>
      <c r="C22" s="5"/>
    </row>
    <row r="23" spans="1:3" s="6" customFormat="1" x14ac:dyDescent="0.3">
      <c r="C23" s="5"/>
    </row>
    <row r="24" spans="1:3" s="6" customFormat="1" x14ac:dyDescent="0.3">
      <c r="C24" s="5"/>
    </row>
    <row r="25" spans="1:3" s="6" customFormat="1" x14ac:dyDescent="0.3">
      <c r="C25" s="5"/>
    </row>
    <row r="26" spans="1:3" s="6" customFormat="1" x14ac:dyDescent="0.3">
      <c r="C26" s="5"/>
    </row>
    <row r="27" spans="1:3" s="6" customFormat="1" x14ac:dyDescent="0.3">
      <c r="C27" s="5"/>
    </row>
    <row r="28" spans="1:3" s="6" customFormat="1" x14ac:dyDescent="0.3">
      <c r="C28" s="5"/>
    </row>
    <row r="29" spans="1:3" s="6" customFormat="1" x14ac:dyDescent="0.3">
      <c r="C29" s="5"/>
    </row>
    <row r="30" spans="1:3" s="6" customFormat="1" x14ac:dyDescent="0.3">
      <c r="C30" s="5"/>
    </row>
    <row r="31" spans="1:3" s="6" customFormat="1" x14ac:dyDescent="0.3">
      <c r="C3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DE4F8-E358-497F-9357-59D46C64DD02}">
  <dimension ref="A1"/>
  <sheetViews>
    <sheetView workbookViewId="0">
      <selection activeCell="C1" sqref="C1:I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Zalando Profile</vt:lpstr>
      <vt:lpstr>Data Sheet</vt:lpstr>
      <vt:lpstr>Scenario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Mallappa Bhingare</dc:creator>
  <cp:lastModifiedBy>Shweta Mallappa Bhingare</cp:lastModifiedBy>
  <dcterms:created xsi:type="dcterms:W3CDTF">2026-04-13T10:47:40Z</dcterms:created>
  <dcterms:modified xsi:type="dcterms:W3CDTF">2026-04-13T11:49:48Z</dcterms:modified>
</cp:coreProperties>
</file>